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<sst xmlns="http://schemas.openxmlformats.org/spreadsheetml/2006/main" count="70" uniqueCount="31">
  <si>
    <t>TABELA DE VARIÁVEIS</t>
  </si>
  <si>
    <t>RESULTADOS</t>
  </si>
  <si>
    <t>FABRICAS</t>
  </si>
  <si>
    <t>DESTINOS</t>
  </si>
  <si>
    <t>D1</t>
  </si>
  <si>
    <t>D2</t>
  </si>
  <si>
    <t>D3</t>
  </si>
  <si>
    <t>D4</t>
  </si>
  <si>
    <t>F1</t>
  </si>
  <si>
    <t>x11</t>
  </si>
  <si>
    <t>x12</t>
  </si>
  <si>
    <t>x13</t>
  </si>
  <si>
    <t>x14</t>
  </si>
  <si>
    <t>F2</t>
  </si>
  <si>
    <t>x21</t>
  </si>
  <si>
    <t>x22</t>
  </si>
  <si>
    <t>x23</t>
  </si>
  <si>
    <t>x24</t>
  </si>
  <si>
    <t>F3</t>
  </si>
  <si>
    <t>x31</t>
  </si>
  <si>
    <t>x32</t>
  </si>
  <si>
    <t>x33</t>
  </si>
  <si>
    <t>x34</t>
  </si>
  <si>
    <t xml:space="preserve">Capacidade </t>
  </si>
  <si>
    <t>Demanda</t>
  </si>
  <si>
    <t>CUSTO DO TRANSPORTE</t>
  </si>
  <si>
    <t>RESTRIÇÕES</t>
  </si>
  <si>
    <t>&lt;=</t>
  </si>
  <si>
    <t>FUNÇÃO OBJETIVO</t>
  </si>
  <si>
    <t>Z</t>
  </si>
  <si>
    <t>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</si>
</sst>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6" fillId="0" fontId="3" numFmtId="0" xfId="0" applyBorder="1" applyFont="1"/>
    <xf borderId="1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3" numFmtId="0" xfId="0" applyAlignment="1" applyBorder="1" applyFont="1">
      <alignment horizontal="center"/>
    </xf>
    <xf quotePrefix="1"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3"/>
      <c r="G2" s="1" t="s">
        <v>1</v>
      </c>
      <c r="H2" s="2"/>
      <c r="I2" s="2"/>
      <c r="J2" s="2"/>
      <c r="K2" s="3"/>
    </row>
    <row r="3">
      <c r="A3" s="4" t="s">
        <v>2</v>
      </c>
      <c r="B3" s="1" t="s">
        <v>3</v>
      </c>
      <c r="C3" s="2"/>
      <c r="D3" s="2"/>
      <c r="E3" s="3"/>
      <c r="G3" s="4" t="s">
        <v>2</v>
      </c>
      <c r="H3" s="1" t="s">
        <v>3</v>
      </c>
      <c r="I3" s="2"/>
      <c r="J3" s="2"/>
      <c r="K3" s="3"/>
    </row>
    <row r="4">
      <c r="A4" s="5"/>
      <c r="B4" s="6" t="s">
        <v>4</v>
      </c>
      <c r="C4" s="6" t="s">
        <v>5</v>
      </c>
      <c r="D4" s="6" t="s">
        <v>6</v>
      </c>
      <c r="E4" s="6" t="s">
        <v>7</v>
      </c>
      <c r="G4" s="5"/>
      <c r="H4" s="6" t="s">
        <v>4</v>
      </c>
      <c r="I4" s="6" t="s">
        <v>5</v>
      </c>
      <c r="J4" s="6" t="s">
        <v>6</v>
      </c>
      <c r="K4" s="6" t="s">
        <v>7</v>
      </c>
    </row>
    <row r="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G5" s="6" t="s">
        <v>8</v>
      </c>
      <c r="H5" s="6"/>
      <c r="I5" s="6"/>
      <c r="J5" s="6"/>
      <c r="K5" s="6"/>
    </row>
    <row r="6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G6" s="6" t="s">
        <v>13</v>
      </c>
      <c r="H6" s="6"/>
      <c r="I6" s="6"/>
      <c r="J6" s="6"/>
      <c r="K6" s="6"/>
    </row>
    <row r="7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G7" s="6" t="s">
        <v>18</v>
      </c>
      <c r="H7" s="6"/>
      <c r="I7" s="6"/>
      <c r="J7" s="6"/>
      <c r="K7" s="6"/>
    </row>
    <row r="9">
      <c r="A9" s="7"/>
      <c r="B9" s="7"/>
      <c r="C9" s="7"/>
      <c r="D9" s="7"/>
      <c r="E9" s="7"/>
    </row>
    <row r="10">
      <c r="A10" s="8" t="s">
        <v>2</v>
      </c>
      <c r="B10" s="9" t="s">
        <v>23</v>
      </c>
      <c r="C10" s="7"/>
      <c r="D10" s="8" t="s">
        <v>3</v>
      </c>
      <c r="E10" s="9" t="s">
        <v>24</v>
      </c>
      <c r="G10" s="1" t="s">
        <v>25</v>
      </c>
      <c r="H10" s="2"/>
      <c r="I10" s="2"/>
      <c r="J10" s="2"/>
      <c r="K10" s="3"/>
    </row>
    <row r="11">
      <c r="A11" s="6" t="s">
        <v>8</v>
      </c>
      <c r="B11" s="6">
        <v>10000.0</v>
      </c>
      <c r="C11" s="10"/>
      <c r="D11" s="6" t="s">
        <v>4</v>
      </c>
      <c r="E11" s="6">
        <v>8000.0</v>
      </c>
      <c r="G11" s="4" t="s">
        <v>2</v>
      </c>
      <c r="H11" s="1" t="s">
        <v>3</v>
      </c>
      <c r="I11" s="2"/>
      <c r="J11" s="2"/>
      <c r="K11" s="3"/>
    </row>
    <row r="12">
      <c r="A12" s="6" t="s">
        <v>13</v>
      </c>
      <c r="B12" s="6">
        <v>15000.0</v>
      </c>
      <c r="C12" s="10"/>
      <c r="D12" s="6" t="s">
        <v>5</v>
      </c>
      <c r="E12" s="6">
        <v>4000.0</v>
      </c>
      <c r="G12" s="5"/>
      <c r="H12" s="6" t="s">
        <v>4</v>
      </c>
      <c r="I12" s="6" t="s">
        <v>5</v>
      </c>
      <c r="J12" s="6" t="s">
        <v>6</v>
      </c>
      <c r="K12" s="6" t="s">
        <v>7</v>
      </c>
    </row>
    <row r="13">
      <c r="A13" s="6" t="s">
        <v>18</v>
      </c>
      <c r="B13" s="6">
        <v>5000.0</v>
      </c>
      <c r="C13" s="10"/>
      <c r="D13" s="6" t="s">
        <v>6</v>
      </c>
      <c r="E13" s="6">
        <v>7000.0</v>
      </c>
      <c r="G13" s="6" t="s">
        <v>8</v>
      </c>
      <c r="H13" s="6">
        <v>13.0</v>
      </c>
      <c r="I13" s="6">
        <v>8.0</v>
      </c>
      <c r="J13" s="6">
        <v>9.0</v>
      </c>
      <c r="K13" s="6">
        <v>12.0</v>
      </c>
    </row>
    <row r="14">
      <c r="D14" s="6" t="s">
        <v>7</v>
      </c>
      <c r="E14" s="6">
        <v>11000.0</v>
      </c>
      <c r="G14" s="6" t="s">
        <v>13</v>
      </c>
      <c r="H14" s="6">
        <v>12.0</v>
      </c>
      <c r="I14" s="6">
        <v>9.0</v>
      </c>
      <c r="J14" s="6">
        <v>10.0</v>
      </c>
      <c r="K14" s="6">
        <v>14.0</v>
      </c>
    </row>
    <row r="15">
      <c r="G15" s="6" t="s">
        <v>18</v>
      </c>
      <c r="H15" s="6">
        <v>8.0</v>
      </c>
      <c r="I15" s="6">
        <v>8.0</v>
      </c>
      <c r="J15" s="6">
        <v>9.0</v>
      </c>
      <c r="K15" s="6">
        <v>6.0</v>
      </c>
    </row>
    <row r="17">
      <c r="A17" s="11" t="s">
        <v>26</v>
      </c>
      <c r="B17" s="2"/>
      <c r="C17" s="2"/>
      <c r="D17" s="3"/>
    </row>
    <row r="18">
      <c r="A18" s="6" t="s">
        <v>8</v>
      </c>
      <c r="B18" s="6">
        <f t="shared" ref="B18:B20" si="1">H5+I5+J5+K5</f>
        <v>0</v>
      </c>
      <c r="C18" s="12" t="s">
        <v>27</v>
      </c>
      <c r="D18" s="13">
        <f t="shared" ref="D18:D20" si="2">B11</f>
        <v>10000</v>
      </c>
      <c r="G18" s="14" t="s">
        <v>28</v>
      </c>
      <c r="H18" s="3"/>
    </row>
    <row r="19">
      <c r="A19" s="6" t="s">
        <v>13</v>
      </c>
      <c r="B19" s="6">
        <f t="shared" si="1"/>
        <v>0</v>
      </c>
      <c r="C19" s="12" t="s">
        <v>27</v>
      </c>
      <c r="D19" s="13">
        <f t="shared" si="2"/>
        <v>15000</v>
      </c>
      <c r="G19" s="15" t="s">
        <v>29</v>
      </c>
      <c r="H19" s="13">
        <f>SUMPRODUCT(H13:K13,H5:K5,H14:K14,H6:K6,H15:K15,H7:K7)</f>
        <v>0</v>
      </c>
    </row>
    <row r="20">
      <c r="A20" s="6" t="s">
        <v>18</v>
      </c>
      <c r="B20" s="6">
        <f t="shared" si="1"/>
        <v>0</v>
      </c>
      <c r="C20" s="12" t="s">
        <v>27</v>
      </c>
      <c r="D20" s="13">
        <f t="shared" si="2"/>
        <v>5000</v>
      </c>
    </row>
    <row r="21">
      <c r="C21" s="16"/>
      <c r="D21" s="13"/>
    </row>
    <row r="22">
      <c r="A22" s="6" t="s">
        <v>4</v>
      </c>
      <c r="B22" s="6">
        <f>H5+H6+H7</f>
        <v>0</v>
      </c>
      <c r="C22" s="17" t="s">
        <v>30</v>
      </c>
      <c r="D22" s="13">
        <f t="shared" ref="D22:D25" si="3">E11</f>
        <v>8000</v>
      </c>
    </row>
    <row r="23">
      <c r="A23" s="6" t="s">
        <v>5</v>
      </c>
      <c r="B23" s="6">
        <f>I5+I6+I7</f>
        <v>0</v>
      </c>
      <c r="C23" s="17" t="s">
        <v>30</v>
      </c>
      <c r="D23" s="13">
        <f t="shared" si="3"/>
        <v>4000</v>
      </c>
    </row>
    <row r="24">
      <c r="A24" s="6" t="s">
        <v>6</v>
      </c>
      <c r="B24" s="6">
        <f>J5+J6+J7</f>
        <v>0</v>
      </c>
      <c r="C24" s="17" t="s">
        <v>30</v>
      </c>
      <c r="D24" s="13">
        <f t="shared" si="3"/>
        <v>7000</v>
      </c>
    </row>
    <row r="25">
      <c r="A25" s="6" t="s">
        <v>7</v>
      </c>
      <c r="B25" s="6">
        <f>K5+K6+K7</f>
        <v>0</v>
      </c>
      <c r="C25" s="17" t="s">
        <v>30</v>
      </c>
      <c r="D25" s="13">
        <f t="shared" si="3"/>
        <v>11000</v>
      </c>
    </row>
  </sheetData>
  <mergeCells count="11">
    <mergeCell ref="H11:K11"/>
    <mergeCell ref="G11:G12"/>
    <mergeCell ref="G18:H18"/>
    <mergeCell ref="A17:D17"/>
    <mergeCell ref="A2:E2"/>
    <mergeCell ref="B3:E3"/>
    <mergeCell ref="A3:A4"/>
    <mergeCell ref="G2:K2"/>
    <mergeCell ref="H3:K3"/>
    <mergeCell ref="G3:G4"/>
    <mergeCell ref="G10:K10"/>
  </mergeCells>
  <drawing r:id="rId1"/>
</worksheet>
</file>